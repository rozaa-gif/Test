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rklabiz.sharepoint.com/sites/OIT-InfrastructureSecurity/Shared Documents/General/Security/Phishing/Orkla Food Ingredients/"/>
    </mc:Choice>
  </mc:AlternateContent>
  <xr:revisionPtr revIDLastSave="13" documentId="8_{3505A100-68EF-40EB-9F47-5A20E286D812}" xr6:coauthVersionLast="47" xr6:coauthVersionMax="47" xr10:uidLastSave="{B7182224-EFAC-4253-B71C-EC05844FA941}"/>
  <bookViews>
    <workbookView xWindow="-108" yWindow="-108" windowWidth="23256" windowHeight="13896" xr2:uid="{540B0C9D-65AA-4B40-A2F6-3A09B3F0A2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D67" i="1"/>
  <c r="C67" i="1"/>
  <c r="B67" i="1"/>
  <c r="H3" i="1"/>
  <c r="H4" i="1"/>
  <c r="H5" i="1"/>
  <c r="H6" i="1"/>
  <c r="H7" i="1"/>
  <c r="H8" i="1"/>
  <c r="H9" i="1"/>
  <c r="H10" i="1"/>
  <c r="H11" i="1"/>
  <c r="H12" i="1"/>
  <c r="H13" i="1"/>
  <c r="H14" i="1"/>
  <c r="H16" i="1"/>
  <c r="H18" i="1"/>
  <c r="H19" i="1"/>
  <c r="H20" i="1"/>
  <c r="H21" i="1"/>
  <c r="H22" i="1"/>
  <c r="H23" i="1"/>
  <c r="H25" i="1"/>
  <c r="H29" i="1"/>
  <c r="H30" i="1"/>
  <c r="H32" i="1"/>
  <c r="H33" i="1"/>
  <c r="H36" i="1"/>
  <c r="H37" i="1"/>
  <c r="H38" i="1"/>
  <c r="H39" i="1"/>
  <c r="H40" i="1"/>
  <c r="H42" i="1"/>
  <c r="H43" i="1"/>
  <c r="H45" i="1"/>
  <c r="H49" i="1"/>
  <c r="H50" i="1"/>
  <c r="H51" i="1"/>
  <c r="H52" i="1"/>
  <c r="H54" i="1"/>
  <c r="H55" i="1"/>
  <c r="H57" i="1"/>
  <c r="H58" i="1"/>
  <c r="H60" i="1"/>
  <c r="H61" i="1"/>
  <c r="H62" i="1"/>
  <c r="H63" i="1"/>
  <c r="H6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2" i="1"/>
</calcChain>
</file>

<file path=xl/sharedStrings.xml><?xml version="1.0" encoding="utf-8"?>
<sst xmlns="http://schemas.openxmlformats.org/spreadsheetml/2006/main" count="73" uniqueCount="73">
  <si>
    <t>ExtAtt9</t>
  </si>
  <si>
    <t>Total_Employees</t>
  </si>
  <si>
    <t>Compromised_Count</t>
  </si>
  <si>
    <t>Reported_Count</t>
  </si>
  <si>
    <t>Reported_Amongst_Compromised_Count</t>
  </si>
  <si>
    <t>Compromised %</t>
  </si>
  <si>
    <t>Reported %</t>
  </si>
  <si>
    <t>Reported_Of_Compromised %</t>
  </si>
  <si>
    <t>empty</t>
  </si>
  <si>
    <t>2007 Idun Industri AS</t>
  </si>
  <si>
    <t>2009 Orkla Food Ingredients AS</t>
  </si>
  <si>
    <t>2057 BAKO AS</t>
  </si>
  <si>
    <t>2060 My Bakery AS</t>
  </si>
  <si>
    <t>2067 Tredo AB</t>
  </si>
  <si>
    <t>2068 KaKa AB</t>
  </si>
  <si>
    <t>2068 Kaka AB</t>
  </si>
  <si>
    <t>2070 Nic - Sweden AB</t>
  </si>
  <si>
    <t>2071 Jastbolaget AB</t>
  </si>
  <si>
    <t>2073 OV Sweden AB</t>
  </si>
  <si>
    <t>2076 NIC Denmark</t>
  </si>
  <si>
    <t>2079 Odense Marcipan AS</t>
  </si>
  <si>
    <t>2080 Gronvang Food ApS</t>
  </si>
  <si>
    <t>2081 Blume Food I S</t>
  </si>
  <si>
    <t>2083 Baechs Conditori AS</t>
  </si>
  <si>
    <t>2086 Credin Polska Sp. z o.o.</t>
  </si>
  <si>
    <t>2093 PGD Sp. z o.o.</t>
  </si>
  <si>
    <t>2095 Condite OY</t>
  </si>
  <si>
    <t>2114 Credin Portugal Ltd</t>
  </si>
  <si>
    <t>2116 Sonneveld Group B V</t>
  </si>
  <si>
    <t>2119 Sonneveld Pekaru Adalekok Kft</t>
  </si>
  <si>
    <t>2121 Ekvia s r o</t>
  </si>
  <si>
    <t>2122 Broer Bakkerijgrondstoffen BV</t>
  </si>
  <si>
    <t>2123 Sonnedin UK Ltd</t>
  </si>
  <si>
    <t>2132 NIC ICE LTD</t>
  </si>
  <si>
    <t>2132 NIC Ice Ltd</t>
  </si>
  <si>
    <t>2132 Nic Ice Ltd</t>
  </si>
  <si>
    <t>2133 Waverley Bakery Ltd</t>
  </si>
  <si>
    <t>2134 Eisunion GmbH</t>
  </si>
  <si>
    <t>2135 Orkla Foods Romania SA</t>
  </si>
  <si>
    <t>2136 Gaedabakstur ehf</t>
  </si>
  <si>
    <t>2140 VMG Food UAB</t>
  </si>
  <si>
    <t>2142 Belusa Foods s r o</t>
  </si>
  <si>
    <t>2144 NIC NEDERLAND BV</t>
  </si>
  <si>
    <t>2144 NIC Nederland BV</t>
  </si>
  <si>
    <t>2145 MiNordija UAB</t>
  </si>
  <si>
    <t>2146 LaNordija SIA</t>
  </si>
  <si>
    <t>2147 Vilmix OU</t>
  </si>
  <si>
    <t>2169 Laan Heiloo BV</t>
  </si>
  <si>
    <t>2170 Orchard Valley Foods Limited</t>
  </si>
  <si>
    <t>2180 Arne B Corneliussen AS</t>
  </si>
  <si>
    <t>2181 Ismejeriet Thy ApS</t>
  </si>
  <si>
    <t>2191 Sonneveld France SARL</t>
  </si>
  <si>
    <t>2192 Quattro Enzyme Solutions</t>
  </si>
  <si>
    <t>2193 IGOS AS</t>
  </si>
  <si>
    <t>2195 Werners Gourmetservice AB</t>
  </si>
  <si>
    <t>2197 Credin Sverige AB</t>
  </si>
  <si>
    <t>2198 Stelios Kanakis S.A.</t>
  </si>
  <si>
    <t>2203 Vamo produkten voor de bakkerij B V</t>
  </si>
  <si>
    <t>2207 Win Equipment BV</t>
  </si>
  <si>
    <t>2212 Coda S A</t>
  </si>
  <si>
    <t>2215 Cake Decor Limited</t>
  </si>
  <si>
    <t>2221 Hans Kaspar AG</t>
  </si>
  <si>
    <t>2235 Hardecoup BV</t>
  </si>
  <si>
    <t>2245 NIC Finland Oy</t>
  </si>
  <si>
    <t>2248 Denali Ingredients LLC</t>
  </si>
  <si>
    <t>2260 Norstamp AS</t>
  </si>
  <si>
    <t>2262 Orkla Food Ingredients AB</t>
  </si>
  <si>
    <t>2271 Freunde der Erfrischung GmbH</t>
  </si>
  <si>
    <t>2273 Kartonage AS</t>
  </si>
  <si>
    <t>2275 Eurohansa Sp. z o.o.</t>
  </si>
  <si>
    <t>2115 Orkla Food Ingredients Česko s.r.o.</t>
  </si>
  <si>
    <t>2174 Våffelbagaren i Kristianstad AB</t>
  </si>
  <si>
    <t>2204 Frödinge Mejeri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</si>
</sst>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7BC-2E53-479D-B633-79AEB62040DD}">
  <dimension ref="A1:H67"/>
  <sheetViews>
    <sheetView tabSelected="1" topLeftCell="A2" workbookViewId="0">
      <selection activeCell="E2" sqref="E2:E67"/>
    </sheetView>
  </sheetViews>
  <sheetFormatPr defaultRowHeight="14.4" x14ac:dyDescent="0.3"/>
  <cols>
    <col min="1" max="1" width="36.5546875" customWidth="1"/>
    <col min="2" max="2" width="23.88671875" customWidth="1"/>
    <col min="3" max="3" width="23.6640625" customWidth="1"/>
    <col min="4" max="4" width="16.44140625" customWidth="1"/>
    <col min="5" max="5" width="26.109375" customWidth="1"/>
    <col min="6" max="6" width="17.33203125" style="1" customWidth="1"/>
    <col min="7" max="7" width="18.6640625" style="1" customWidth="1"/>
    <col min="8" max="8" width="23.109375" style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19</v>
      </c>
      <c r="C2">
        <v>0</v>
      </c>
      <c r="D2">
        <v>1</v>
      </c>
      <c r="E2">
        <v>0</v>
      </c>
      <c r="F2" s="1">
        <f>C2/B2</f>
        <v>0</v>
      </c>
      <c r="G2" s="1">
        <f>D2/B2</f>
        <v>5.2631578947368418E-2</v>
      </c>
      <c r="H2" s="1">
        <f>E2/D2</f>
        <v>0</v>
      </c>
    </row>
    <row r="3" spans="1:8" x14ac:dyDescent="0.3">
      <c r="A3" t="s">
        <v>9</v>
      </c>
      <c r="B3">
        <v>158</v>
      </c>
      <c r="C3">
        <v>32</v>
      </c>
      <c r="D3">
        <v>5</v>
      </c>
      <c r="E3">
        <v>3</v>
      </c>
      <c r="F3" s="1">
        <f t="shared" ref="F3:F66" si="0">C3/B3</f>
        <v>0.20253164556962025</v>
      </c>
      <c r="G3" s="1">
        <f t="shared" ref="G3:G66" si="1">D3/B3</f>
        <v>3.1645569620253167E-2</v>
      </c>
      <c r="H3" s="1">
        <f t="shared" ref="H3:H64" si="2">E3/D3</f>
        <v>0.6</v>
      </c>
    </row>
    <row r="4" spans="1:8" x14ac:dyDescent="0.3">
      <c r="A4" t="s">
        <v>10</v>
      </c>
      <c r="B4">
        <v>141</v>
      </c>
      <c r="C4">
        <v>14</v>
      </c>
      <c r="D4">
        <v>13</v>
      </c>
      <c r="E4">
        <v>1</v>
      </c>
      <c r="F4" s="1">
        <f t="shared" si="0"/>
        <v>9.9290780141843976E-2</v>
      </c>
      <c r="G4" s="1">
        <f t="shared" si="1"/>
        <v>9.2198581560283682E-2</v>
      </c>
      <c r="H4" s="1">
        <f t="shared" si="2"/>
        <v>7.6923076923076927E-2</v>
      </c>
    </row>
    <row r="5" spans="1:8" x14ac:dyDescent="0.3">
      <c r="A5" t="s">
        <v>11</v>
      </c>
      <c r="B5">
        <v>29</v>
      </c>
      <c r="C5">
        <v>8</v>
      </c>
      <c r="D5">
        <v>3</v>
      </c>
      <c r="E5">
        <v>1</v>
      </c>
      <c r="F5" s="1">
        <f t="shared" si="0"/>
        <v>0.27586206896551724</v>
      </c>
      <c r="G5" s="1">
        <f t="shared" si="1"/>
        <v>0.10344827586206896</v>
      </c>
      <c r="H5" s="1">
        <f t="shared" si="2"/>
        <v>0.33333333333333331</v>
      </c>
    </row>
    <row r="6" spans="1:8" x14ac:dyDescent="0.3">
      <c r="A6" t="s">
        <v>12</v>
      </c>
      <c r="B6">
        <v>6</v>
      </c>
      <c r="C6">
        <v>1</v>
      </c>
      <c r="D6">
        <v>2</v>
      </c>
      <c r="E6">
        <v>0</v>
      </c>
      <c r="F6" s="1">
        <f t="shared" si="0"/>
        <v>0.16666666666666666</v>
      </c>
      <c r="G6" s="1">
        <f t="shared" si="1"/>
        <v>0.33333333333333331</v>
      </c>
      <c r="H6" s="1">
        <f t="shared" si="2"/>
        <v>0</v>
      </c>
    </row>
    <row r="7" spans="1:8" x14ac:dyDescent="0.3">
      <c r="A7" t="s">
        <v>13</v>
      </c>
      <c r="B7">
        <v>19</v>
      </c>
      <c r="C7">
        <v>6</v>
      </c>
      <c r="D7">
        <v>1</v>
      </c>
      <c r="E7">
        <v>1</v>
      </c>
      <c r="F7" s="1">
        <f t="shared" si="0"/>
        <v>0.31578947368421051</v>
      </c>
      <c r="G7" s="1">
        <f t="shared" si="1"/>
        <v>5.2631578947368418E-2</v>
      </c>
      <c r="H7" s="1">
        <f t="shared" si="2"/>
        <v>1</v>
      </c>
    </row>
    <row r="8" spans="1:8" x14ac:dyDescent="0.3">
      <c r="A8" t="s">
        <v>14</v>
      </c>
      <c r="B8">
        <v>116</v>
      </c>
      <c r="C8">
        <v>14</v>
      </c>
      <c r="D8">
        <v>8</v>
      </c>
      <c r="E8">
        <v>1</v>
      </c>
      <c r="F8" s="1">
        <f t="shared" si="0"/>
        <v>0.1206896551724138</v>
      </c>
      <c r="G8" s="1">
        <f t="shared" si="1"/>
        <v>6.8965517241379309E-2</v>
      </c>
      <c r="H8" s="1">
        <f t="shared" si="2"/>
        <v>0.125</v>
      </c>
    </row>
    <row r="9" spans="1:8" x14ac:dyDescent="0.3">
      <c r="A9" t="s">
        <v>15</v>
      </c>
      <c r="B9">
        <v>29</v>
      </c>
      <c r="C9">
        <v>3</v>
      </c>
      <c r="D9">
        <v>2</v>
      </c>
      <c r="E9">
        <v>1</v>
      </c>
      <c r="F9" s="1">
        <f t="shared" si="0"/>
        <v>0.10344827586206896</v>
      </c>
      <c r="G9" s="1">
        <f t="shared" si="1"/>
        <v>6.8965517241379309E-2</v>
      </c>
      <c r="H9" s="1">
        <f t="shared" si="2"/>
        <v>0.5</v>
      </c>
    </row>
    <row r="10" spans="1:8" x14ac:dyDescent="0.3">
      <c r="A10" t="s">
        <v>16</v>
      </c>
      <c r="B10">
        <v>21</v>
      </c>
      <c r="C10">
        <v>2</v>
      </c>
      <c r="D10">
        <v>7</v>
      </c>
      <c r="E10">
        <v>0</v>
      </c>
      <c r="F10" s="1">
        <f t="shared" si="0"/>
        <v>9.5238095238095233E-2</v>
      </c>
      <c r="G10" s="1">
        <f t="shared" si="1"/>
        <v>0.33333333333333331</v>
      </c>
      <c r="H10" s="1">
        <f t="shared" si="2"/>
        <v>0</v>
      </c>
    </row>
    <row r="11" spans="1:8" x14ac:dyDescent="0.3">
      <c r="A11" t="s">
        <v>17</v>
      </c>
      <c r="B11">
        <v>52</v>
      </c>
      <c r="C11">
        <v>7</v>
      </c>
      <c r="D11">
        <v>1</v>
      </c>
      <c r="E11">
        <v>0</v>
      </c>
      <c r="F11" s="1">
        <f t="shared" si="0"/>
        <v>0.13461538461538461</v>
      </c>
      <c r="G11" s="1">
        <f t="shared" si="1"/>
        <v>1.9230769230769232E-2</v>
      </c>
      <c r="H11" s="1">
        <f t="shared" si="2"/>
        <v>0</v>
      </c>
    </row>
    <row r="12" spans="1:8" x14ac:dyDescent="0.3">
      <c r="A12" t="s">
        <v>18</v>
      </c>
      <c r="B12">
        <v>22</v>
      </c>
      <c r="C12">
        <v>3</v>
      </c>
      <c r="D12">
        <v>5</v>
      </c>
      <c r="E12">
        <v>0</v>
      </c>
      <c r="F12" s="1">
        <f t="shared" si="0"/>
        <v>0.13636363636363635</v>
      </c>
      <c r="G12" s="1">
        <f t="shared" si="1"/>
        <v>0.22727272727272727</v>
      </c>
      <c r="H12" s="1">
        <f t="shared" si="2"/>
        <v>0</v>
      </c>
    </row>
    <row r="13" spans="1:8" x14ac:dyDescent="0.3">
      <c r="A13" t="s">
        <v>19</v>
      </c>
      <c r="B13">
        <v>27</v>
      </c>
      <c r="C13">
        <v>11</v>
      </c>
      <c r="D13">
        <v>2</v>
      </c>
      <c r="E13">
        <v>1</v>
      </c>
      <c r="F13" s="1">
        <f t="shared" si="0"/>
        <v>0.40740740740740738</v>
      </c>
      <c r="G13" s="1">
        <f t="shared" si="1"/>
        <v>7.407407407407407E-2</v>
      </c>
      <c r="H13" s="1">
        <f t="shared" si="2"/>
        <v>0.5</v>
      </c>
    </row>
    <row r="14" spans="1:8" x14ac:dyDescent="0.3">
      <c r="A14" t="s">
        <v>20</v>
      </c>
      <c r="B14">
        <v>112</v>
      </c>
      <c r="C14">
        <v>28</v>
      </c>
      <c r="D14">
        <v>6</v>
      </c>
      <c r="E14">
        <v>2</v>
      </c>
      <c r="F14" s="1">
        <f t="shared" si="0"/>
        <v>0.25</v>
      </c>
      <c r="G14" s="1">
        <f t="shared" si="1"/>
        <v>5.3571428571428568E-2</v>
      </c>
      <c r="H14" s="1">
        <f t="shared" si="2"/>
        <v>0.33333333333333331</v>
      </c>
    </row>
    <row r="15" spans="1:8" x14ac:dyDescent="0.3">
      <c r="A15" t="s">
        <v>21</v>
      </c>
      <c r="B15">
        <v>30</v>
      </c>
      <c r="C15">
        <v>7</v>
      </c>
      <c r="D15">
        <v>0</v>
      </c>
      <c r="E15">
        <v>0</v>
      </c>
      <c r="F15" s="1">
        <f t="shared" si="0"/>
        <v>0.23333333333333334</v>
      </c>
      <c r="G15" s="1">
        <f t="shared" si="1"/>
        <v>0</v>
      </c>
      <c r="H15" s="1">
        <v>0</v>
      </c>
    </row>
    <row r="16" spans="1:8" x14ac:dyDescent="0.3">
      <c r="A16" t="s">
        <v>22</v>
      </c>
      <c r="B16">
        <v>9</v>
      </c>
      <c r="C16">
        <v>4</v>
      </c>
      <c r="D16">
        <v>1</v>
      </c>
      <c r="E16">
        <v>1</v>
      </c>
      <c r="F16" s="1">
        <f t="shared" si="0"/>
        <v>0.44444444444444442</v>
      </c>
      <c r="G16" s="1">
        <f t="shared" si="1"/>
        <v>0.1111111111111111</v>
      </c>
      <c r="H16" s="1">
        <f t="shared" si="2"/>
        <v>1</v>
      </c>
    </row>
    <row r="17" spans="1:8" x14ac:dyDescent="0.3">
      <c r="A17" t="s">
        <v>23</v>
      </c>
      <c r="B17">
        <v>27</v>
      </c>
      <c r="C17">
        <v>4</v>
      </c>
      <c r="D17">
        <v>0</v>
      </c>
      <c r="E17">
        <v>0</v>
      </c>
      <c r="F17" s="1">
        <f t="shared" si="0"/>
        <v>0.14814814814814814</v>
      </c>
      <c r="G17" s="1">
        <f t="shared" si="1"/>
        <v>0</v>
      </c>
      <c r="H17" s="1">
        <v>0</v>
      </c>
    </row>
    <row r="18" spans="1:8" x14ac:dyDescent="0.3">
      <c r="A18" t="s">
        <v>24</v>
      </c>
      <c r="B18">
        <v>110</v>
      </c>
      <c r="C18">
        <v>17</v>
      </c>
      <c r="D18">
        <v>26</v>
      </c>
      <c r="E18">
        <v>3</v>
      </c>
      <c r="F18" s="1">
        <f t="shared" si="0"/>
        <v>0.15454545454545454</v>
      </c>
      <c r="G18" s="1">
        <f t="shared" si="1"/>
        <v>0.23636363636363636</v>
      </c>
      <c r="H18" s="1">
        <f t="shared" si="2"/>
        <v>0.11538461538461539</v>
      </c>
    </row>
    <row r="19" spans="1:8" x14ac:dyDescent="0.3">
      <c r="A19" t="s">
        <v>25</v>
      </c>
      <c r="B19">
        <v>207</v>
      </c>
      <c r="C19">
        <v>16</v>
      </c>
      <c r="D19">
        <v>1</v>
      </c>
      <c r="E19">
        <v>0</v>
      </c>
      <c r="F19" s="1">
        <f t="shared" si="0"/>
        <v>7.7294685990338161E-2</v>
      </c>
      <c r="G19" s="1">
        <f t="shared" si="1"/>
        <v>4.830917874396135E-3</v>
      </c>
      <c r="H19" s="1">
        <f t="shared" si="2"/>
        <v>0</v>
      </c>
    </row>
    <row r="20" spans="1:8" x14ac:dyDescent="0.3">
      <c r="A20" t="s">
        <v>26</v>
      </c>
      <c r="B20">
        <v>66</v>
      </c>
      <c r="C20">
        <v>7</v>
      </c>
      <c r="D20">
        <v>7</v>
      </c>
      <c r="E20">
        <v>3</v>
      </c>
      <c r="F20" s="1">
        <f t="shared" si="0"/>
        <v>0.10606060606060606</v>
      </c>
      <c r="G20" s="1">
        <f t="shared" si="1"/>
        <v>0.10606060606060606</v>
      </c>
      <c r="H20" s="1">
        <f t="shared" si="2"/>
        <v>0.42857142857142855</v>
      </c>
    </row>
    <row r="21" spans="1:8" x14ac:dyDescent="0.3">
      <c r="A21" t="s">
        <v>27</v>
      </c>
      <c r="B21">
        <v>83</v>
      </c>
      <c r="C21">
        <v>21</v>
      </c>
      <c r="D21">
        <v>6</v>
      </c>
      <c r="E21">
        <v>1</v>
      </c>
      <c r="F21" s="1">
        <f t="shared" si="0"/>
        <v>0.25301204819277107</v>
      </c>
      <c r="G21" s="1">
        <f t="shared" si="1"/>
        <v>7.2289156626506021E-2</v>
      </c>
      <c r="H21" s="1">
        <f t="shared" si="2"/>
        <v>0.16666666666666666</v>
      </c>
    </row>
    <row r="22" spans="1:8" x14ac:dyDescent="0.3">
      <c r="A22" t="s">
        <v>70</v>
      </c>
      <c r="B22">
        <v>45</v>
      </c>
      <c r="C22">
        <v>3</v>
      </c>
      <c r="D22">
        <v>4</v>
      </c>
      <c r="E22">
        <v>2</v>
      </c>
      <c r="F22" s="1">
        <f t="shared" si="0"/>
        <v>6.6666666666666666E-2</v>
      </c>
      <c r="G22" s="1">
        <f t="shared" si="1"/>
        <v>8.8888888888888892E-2</v>
      </c>
      <c r="H22" s="1">
        <f t="shared" si="2"/>
        <v>0.5</v>
      </c>
    </row>
    <row r="23" spans="1:8" x14ac:dyDescent="0.3">
      <c r="A23" t="s">
        <v>28</v>
      </c>
      <c r="B23">
        <v>176</v>
      </c>
      <c r="C23">
        <v>34</v>
      </c>
      <c r="D23">
        <v>13</v>
      </c>
      <c r="E23">
        <v>6</v>
      </c>
      <c r="F23" s="1">
        <f t="shared" si="0"/>
        <v>0.19318181818181818</v>
      </c>
      <c r="G23" s="1">
        <f t="shared" si="1"/>
        <v>7.3863636363636367E-2</v>
      </c>
      <c r="H23" s="1">
        <f t="shared" si="2"/>
        <v>0.46153846153846156</v>
      </c>
    </row>
    <row r="24" spans="1:8" x14ac:dyDescent="0.3">
      <c r="A24" t="s">
        <v>29</v>
      </c>
      <c r="B24">
        <v>11</v>
      </c>
      <c r="C24">
        <v>2</v>
      </c>
      <c r="D24">
        <v>0</v>
      </c>
      <c r="E24">
        <v>0</v>
      </c>
      <c r="F24" s="1">
        <f t="shared" si="0"/>
        <v>0.18181818181818182</v>
      </c>
      <c r="G24" s="1">
        <f t="shared" si="1"/>
        <v>0</v>
      </c>
      <c r="H24" s="1">
        <v>0</v>
      </c>
    </row>
    <row r="25" spans="1:8" x14ac:dyDescent="0.3">
      <c r="A25" t="s">
        <v>30</v>
      </c>
      <c r="B25">
        <v>63</v>
      </c>
      <c r="C25">
        <v>14</v>
      </c>
      <c r="D25">
        <v>3</v>
      </c>
      <c r="E25">
        <v>1</v>
      </c>
      <c r="F25" s="1">
        <f t="shared" si="0"/>
        <v>0.22222222222222221</v>
      </c>
      <c r="G25" s="1">
        <f t="shared" si="1"/>
        <v>4.7619047619047616E-2</v>
      </c>
      <c r="H25" s="1">
        <f t="shared" si="2"/>
        <v>0.33333333333333331</v>
      </c>
    </row>
    <row r="26" spans="1:8" x14ac:dyDescent="0.3">
      <c r="A26" t="s">
        <v>31</v>
      </c>
      <c r="B26">
        <v>17</v>
      </c>
      <c r="C26">
        <v>5</v>
      </c>
      <c r="D26">
        <v>0</v>
      </c>
      <c r="E26">
        <v>0</v>
      </c>
      <c r="F26" s="1">
        <f t="shared" si="0"/>
        <v>0.29411764705882354</v>
      </c>
      <c r="G26" s="1">
        <f t="shared" si="1"/>
        <v>0</v>
      </c>
      <c r="H26" s="1">
        <v>0</v>
      </c>
    </row>
    <row r="27" spans="1:8" x14ac:dyDescent="0.3">
      <c r="A27" t="s">
        <v>32</v>
      </c>
      <c r="B27">
        <v>5</v>
      </c>
      <c r="C27">
        <v>3</v>
      </c>
      <c r="D27">
        <v>0</v>
      </c>
      <c r="E27">
        <v>0</v>
      </c>
      <c r="F27" s="1">
        <f t="shared" si="0"/>
        <v>0.6</v>
      </c>
      <c r="G27" s="1">
        <f t="shared" si="1"/>
        <v>0</v>
      </c>
      <c r="H27" s="1">
        <v>0</v>
      </c>
    </row>
    <row r="28" spans="1:8" x14ac:dyDescent="0.3">
      <c r="A28" t="s">
        <v>33</v>
      </c>
      <c r="B28">
        <v>1</v>
      </c>
      <c r="C28">
        <v>0</v>
      </c>
      <c r="D28">
        <v>0</v>
      </c>
      <c r="E28">
        <v>0</v>
      </c>
      <c r="F28" s="1">
        <f t="shared" si="0"/>
        <v>0</v>
      </c>
      <c r="G28" s="1">
        <f t="shared" si="1"/>
        <v>0</v>
      </c>
      <c r="H28" s="1">
        <v>0</v>
      </c>
    </row>
    <row r="29" spans="1:8" x14ac:dyDescent="0.3">
      <c r="A29" t="s">
        <v>34</v>
      </c>
      <c r="B29">
        <v>57</v>
      </c>
      <c r="C29">
        <v>17</v>
      </c>
      <c r="D29">
        <v>4</v>
      </c>
      <c r="E29">
        <v>2</v>
      </c>
      <c r="F29" s="1">
        <f t="shared" si="0"/>
        <v>0.2982456140350877</v>
      </c>
      <c r="G29" s="1">
        <f t="shared" si="1"/>
        <v>7.0175438596491224E-2</v>
      </c>
      <c r="H29" s="1">
        <f t="shared" si="2"/>
        <v>0.5</v>
      </c>
    </row>
    <row r="30" spans="1:8" x14ac:dyDescent="0.3">
      <c r="A30" t="s">
        <v>35</v>
      </c>
      <c r="B30">
        <v>40</v>
      </c>
      <c r="C30">
        <v>11</v>
      </c>
      <c r="D30">
        <v>7</v>
      </c>
      <c r="E30">
        <v>0</v>
      </c>
      <c r="F30" s="1">
        <f t="shared" si="0"/>
        <v>0.27500000000000002</v>
      </c>
      <c r="G30" s="1">
        <f t="shared" si="1"/>
        <v>0.17499999999999999</v>
      </c>
      <c r="H30" s="1">
        <f t="shared" si="2"/>
        <v>0</v>
      </c>
    </row>
    <row r="31" spans="1:8" x14ac:dyDescent="0.3">
      <c r="A31" t="s">
        <v>36</v>
      </c>
      <c r="B31">
        <v>1</v>
      </c>
      <c r="C31">
        <v>0</v>
      </c>
      <c r="D31">
        <v>0</v>
      </c>
      <c r="E31">
        <v>0</v>
      </c>
      <c r="F31" s="1">
        <f t="shared" si="0"/>
        <v>0</v>
      </c>
      <c r="G31" s="1">
        <f t="shared" si="1"/>
        <v>0</v>
      </c>
      <c r="H31" s="1">
        <v>0</v>
      </c>
    </row>
    <row r="32" spans="1:8" x14ac:dyDescent="0.3">
      <c r="A32" t="s">
        <v>37</v>
      </c>
      <c r="B32">
        <v>77</v>
      </c>
      <c r="C32">
        <v>5</v>
      </c>
      <c r="D32">
        <v>2</v>
      </c>
      <c r="E32">
        <v>0</v>
      </c>
      <c r="F32" s="1">
        <f t="shared" si="0"/>
        <v>6.4935064935064929E-2</v>
      </c>
      <c r="G32" s="1">
        <f t="shared" si="1"/>
        <v>2.5974025974025976E-2</v>
      </c>
      <c r="H32" s="1">
        <f t="shared" si="2"/>
        <v>0</v>
      </c>
    </row>
    <row r="33" spans="1:8" x14ac:dyDescent="0.3">
      <c r="A33" t="s">
        <v>38</v>
      </c>
      <c r="B33">
        <v>191</v>
      </c>
      <c r="C33">
        <v>37</v>
      </c>
      <c r="D33">
        <v>19</v>
      </c>
      <c r="E33">
        <v>8</v>
      </c>
      <c r="F33" s="1">
        <f t="shared" si="0"/>
        <v>0.193717277486911</v>
      </c>
      <c r="G33" s="1">
        <f t="shared" si="1"/>
        <v>9.947643979057591E-2</v>
      </c>
      <c r="H33" s="1">
        <f t="shared" si="2"/>
        <v>0.42105263157894735</v>
      </c>
    </row>
    <row r="34" spans="1:8" x14ac:dyDescent="0.3">
      <c r="A34" t="s">
        <v>39</v>
      </c>
      <c r="B34">
        <v>1</v>
      </c>
      <c r="C34">
        <v>0</v>
      </c>
      <c r="D34">
        <v>0</v>
      </c>
      <c r="E34">
        <v>0</v>
      </c>
      <c r="F34" s="1">
        <f t="shared" si="0"/>
        <v>0</v>
      </c>
      <c r="G34" s="1">
        <f t="shared" si="1"/>
        <v>0</v>
      </c>
      <c r="H34" s="1">
        <v>0</v>
      </c>
    </row>
    <row r="35" spans="1:8" x14ac:dyDescent="0.3">
      <c r="A35" t="s">
        <v>40</v>
      </c>
      <c r="B35">
        <v>10</v>
      </c>
      <c r="C35">
        <v>0</v>
      </c>
      <c r="D35">
        <v>0</v>
      </c>
      <c r="E35">
        <v>0</v>
      </c>
      <c r="F35" s="1">
        <f t="shared" si="0"/>
        <v>0</v>
      </c>
      <c r="G35" s="1">
        <f t="shared" si="1"/>
        <v>0</v>
      </c>
      <c r="H35" s="1">
        <v>0</v>
      </c>
    </row>
    <row r="36" spans="1:8" x14ac:dyDescent="0.3">
      <c r="A36" t="s">
        <v>41</v>
      </c>
      <c r="B36">
        <v>21</v>
      </c>
      <c r="C36">
        <v>5</v>
      </c>
      <c r="D36">
        <v>2</v>
      </c>
      <c r="E36">
        <v>1</v>
      </c>
      <c r="F36" s="1">
        <f t="shared" si="0"/>
        <v>0.23809523809523808</v>
      </c>
      <c r="G36" s="1">
        <f t="shared" si="1"/>
        <v>9.5238095238095233E-2</v>
      </c>
      <c r="H36" s="1">
        <f t="shared" si="2"/>
        <v>0.5</v>
      </c>
    </row>
    <row r="37" spans="1:8" x14ac:dyDescent="0.3">
      <c r="A37" t="s">
        <v>42</v>
      </c>
      <c r="B37">
        <v>26</v>
      </c>
      <c r="C37">
        <v>7</v>
      </c>
      <c r="D37">
        <v>6</v>
      </c>
      <c r="E37">
        <v>1</v>
      </c>
      <c r="F37" s="1">
        <f t="shared" si="0"/>
        <v>0.26923076923076922</v>
      </c>
      <c r="G37" s="1">
        <f t="shared" si="1"/>
        <v>0.23076923076923078</v>
      </c>
      <c r="H37" s="1">
        <f t="shared" si="2"/>
        <v>0.16666666666666666</v>
      </c>
    </row>
    <row r="38" spans="1:8" x14ac:dyDescent="0.3">
      <c r="A38" t="s">
        <v>43</v>
      </c>
      <c r="B38">
        <v>5</v>
      </c>
      <c r="C38">
        <v>0</v>
      </c>
      <c r="D38">
        <v>2</v>
      </c>
      <c r="E38">
        <v>0</v>
      </c>
      <c r="F38" s="1">
        <f t="shared" si="0"/>
        <v>0</v>
      </c>
      <c r="G38" s="1">
        <f t="shared" si="1"/>
        <v>0.4</v>
      </c>
      <c r="H38" s="1">
        <f t="shared" si="2"/>
        <v>0</v>
      </c>
    </row>
    <row r="39" spans="1:8" x14ac:dyDescent="0.3">
      <c r="A39" t="s">
        <v>44</v>
      </c>
      <c r="B39">
        <v>64</v>
      </c>
      <c r="C39">
        <v>5</v>
      </c>
      <c r="D39">
        <v>7</v>
      </c>
      <c r="E39">
        <v>0</v>
      </c>
      <c r="F39" s="1">
        <f t="shared" si="0"/>
        <v>7.8125E-2</v>
      </c>
      <c r="G39" s="1">
        <f t="shared" si="1"/>
        <v>0.109375</v>
      </c>
      <c r="H39" s="1">
        <f t="shared" si="2"/>
        <v>0</v>
      </c>
    </row>
    <row r="40" spans="1:8" x14ac:dyDescent="0.3">
      <c r="A40" t="s">
        <v>45</v>
      </c>
      <c r="B40">
        <v>24</v>
      </c>
      <c r="C40">
        <v>0</v>
      </c>
      <c r="D40">
        <v>3</v>
      </c>
      <c r="E40">
        <v>0</v>
      </c>
      <c r="F40" s="1">
        <f t="shared" si="0"/>
        <v>0</v>
      </c>
      <c r="G40" s="1">
        <f t="shared" si="1"/>
        <v>0.125</v>
      </c>
      <c r="H40" s="1">
        <f t="shared" si="2"/>
        <v>0</v>
      </c>
    </row>
    <row r="41" spans="1:8" x14ac:dyDescent="0.3">
      <c r="A41" t="s">
        <v>46</v>
      </c>
      <c r="B41">
        <v>12</v>
      </c>
      <c r="C41">
        <v>0</v>
      </c>
      <c r="D41">
        <v>0</v>
      </c>
      <c r="E41">
        <v>0</v>
      </c>
      <c r="F41" s="1">
        <f t="shared" si="0"/>
        <v>0</v>
      </c>
      <c r="G41" s="1">
        <f t="shared" si="1"/>
        <v>0</v>
      </c>
      <c r="H41" s="1">
        <v>0</v>
      </c>
    </row>
    <row r="42" spans="1:8" x14ac:dyDescent="0.3">
      <c r="A42" t="s">
        <v>47</v>
      </c>
      <c r="B42">
        <v>12</v>
      </c>
      <c r="C42">
        <v>3</v>
      </c>
      <c r="D42">
        <v>3</v>
      </c>
      <c r="E42">
        <v>1</v>
      </c>
      <c r="F42" s="1">
        <f t="shared" si="0"/>
        <v>0.25</v>
      </c>
      <c r="G42" s="1">
        <f t="shared" si="1"/>
        <v>0.25</v>
      </c>
      <c r="H42" s="1">
        <f t="shared" si="2"/>
        <v>0.33333333333333331</v>
      </c>
    </row>
    <row r="43" spans="1:8" x14ac:dyDescent="0.3">
      <c r="A43" t="s">
        <v>48</v>
      </c>
      <c r="B43">
        <v>112</v>
      </c>
      <c r="C43">
        <v>39</v>
      </c>
      <c r="D43">
        <v>13</v>
      </c>
      <c r="E43">
        <v>3</v>
      </c>
      <c r="F43" s="1">
        <f t="shared" si="0"/>
        <v>0.3482142857142857</v>
      </c>
      <c r="G43" s="1">
        <f t="shared" si="1"/>
        <v>0.11607142857142858</v>
      </c>
      <c r="H43" s="1">
        <f t="shared" si="2"/>
        <v>0.23076923076923078</v>
      </c>
    </row>
    <row r="44" spans="1:8" x14ac:dyDescent="0.3">
      <c r="A44" t="s">
        <v>71</v>
      </c>
      <c r="B44">
        <v>5</v>
      </c>
      <c r="C44">
        <v>1</v>
      </c>
      <c r="D44">
        <v>0</v>
      </c>
      <c r="E44">
        <v>0</v>
      </c>
      <c r="F44" s="1">
        <f t="shared" si="0"/>
        <v>0.2</v>
      </c>
      <c r="G44" s="1">
        <f t="shared" si="1"/>
        <v>0</v>
      </c>
      <c r="H44" s="1">
        <v>0</v>
      </c>
    </row>
    <row r="45" spans="1:8" x14ac:dyDescent="0.3">
      <c r="A45" t="s">
        <v>49</v>
      </c>
      <c r="B45">
        <v>33</v>
      </c>
      <c r="C45">
        <v>14</v>
      </c>
      <c r="D45">
        <v>5</v>
      </c>
      <c r="E45">
        <v>1</v>
      </c>
      <c r="F45" s="1">
        <f t="shared" si="0"/>
        <v>0.42424242424242425</v>
      </c>
      <c r="G45" s="1">
        <f t="shared" si="1"/>
        <v>0.15151515151515152</v>
      </c>
      <c r="H45" s="1">
        <f t="shared" si="2"/>
        <v>0.2</v>
      </c>
    </row>
    <row r="46" spans="1:8" x14ac:dyDescent="0.3">
      <c r="A46" t="s">
        <v>50</v>
      </c>
      <c r="B46">
        <v>5</v>
      </c>
      <c r="C46">
        <v>2</v>
      </c>
      <c r="D46">
        <v>0</v>
      </c>
      <c r="E46">
        <v>0</v>
      </c>
      <c r="F46" s="1">
        <f t="shared" si="0"/>
        <v>0.4</v>
      </c>
      <c r="G46" s="1">
        <f t="shared" si="1"/>
        <v>0</v>
      </c>
      <c r="H46" s="1">
        <v>0</v>
      </c>
    </row>
    <row r="47" spans="1:8" x14ac:dyDescent="0.3">
      <c r="A47" t="s">
        <v>51</v>
      </c>
      <c r="B47">
        <v>10</v>
      </c>
      <c r="C47">
        <v>2</v>
      </c>
      <c r="D47">
        <v>0</v>
      </c>
      <c r="E47">
        <v>0</v>
      </c>
      <c r="F47" s="1">
        <f t="shared" si="0"/>
        <v>0.2</v>
      </c>
      <c r="G47" s="1">
        <f t="shared" si="1"/>
        <v>0</v>
      </c>
      <c r="H47" s="1">
        <v>0</v>
      </c>
    </row>
    <row r="48" spans="1:8" x14ac:dyDescent="0.3">
      <c r="A48" t="s">
        <v>52</v>
      </c>
      <c r="B48">
        <v>2</v>
      </c>
      <c r="C48">
        <v>0</v>
      </c>
      <c r="D48">
        <v>0</v>
      </c>
      <c r="E48">
        <v>0</v>
      </c>
      <c r="F48" s="1">
        <f t="shared" si="0"/>
        <v>0</v>
      </c>
      <c r="G48" s="1">
        <f t="shared" si="1"/>
        <v>0</v>
      </c>
      <c r="H48" s="1">
        <v>0</v>
      </c>
    </row>
    <row r="49" spans="1:8" x14ac:dyDescent="0.3">
      <c r="A49" t="s">
        <v>53</v>
      </c>
      <c r="B49">
        <v>6</v>
      </c>
      <c r="C49">
        <v>2</v>
      </c>
      <c r="D49">
        <v>1</v>
      </c>
      <c r="E49">
        <v>0</v>
      </c>
      <c r="F49" s="1">
        <f t="shared" si="0"/>
        <v>0.33333333333333331</v>
      </c>
      <c r="G49" s="1">
        <f t="shared" si="1"/>
        <v>0.16666666666666666</v>
      </c>
      <c r="H49" s="1">
        <f t="shared" si="2"/>
        <v>0</v>
      </c>
    </row>
    <row r="50" spans="1:8" x14ac:dyDescent="0.3">
      <c r="A50" t="s">
        <v>54</v>
      </c>
      <c r="B50">
        <v>49</v>
      </c>
      <c r="C50">
        <v>8</v>
      </c>
      <c r="D50">
        <v>8</v>
      </c>
      <c r="E50">
        <v>1</v>
      </c>
      <c r="F50" s="1">
        <f t="shared" si="0"/>
        <v>0.16326530612244897</v>
      </c>
      <c r="G50" s="1">
        <f t="shared" si="1"/>
        <v>0.16326530612244897</v>
      </c>
      <c r="H50" s="1">
        <f t="shared" si="2"/>
        <v>0.125</v>
      </c>
    </row>
    <row r="51" spans="1:8" x14ac:dyDescent="0.3">
      <c r="A51" t="s">
        <v>55</v>
      </c>
      <c r="B51">
        <v>59</v>
      </c>
      <c r="C51">
        <v>5</v>
      </c>
      <c r="D51">
        <v>6</v>
      </c>
      <c r="E51">
        <v>1</v>
      </c>
      <c r="F51" s="1">
        <f t="shared" si="0"/>
        <v>8.4745762711864403E-2</v>
      </c>
      <c r="G51" s="1">
        <f t="shared" si="1"/>
        <v>0.10169491525423729</v>
      </c>
      <c r="H51" s="1">
        <f t="shared" si="2"/>
        <v>0.16666666666666666</v>
      </c>
    </row>
    <row r="52" spans="1:8" x14ac:dyDescent="0.3">
      <c r="A52" t="s">
        <v>56</v>
      </c>
      <c r="B52">
        <v>54</v>
      </c>
      <c r="C52">
        <v>15</v>
      </c>
      <c r="D52">
        <v>2</v>
      </c>
      <c r="E52">
        <v>1</v>
      </c>
      <c r="F52" s="1">
        <f t="shared" si="0"/>
        <v>0.27777777777777779</v>
      </c>
      <c r="G52" s="1">
        <f t="shared" si="1"/>
        <v>3.7037037037037035E-2</v>
      </c>
      <c r="H52" s="1">
        <f t="shared" si="2"/>
        <v>0.5</v>
      </c>
    </row>
    <row r="53" spans="1:8" x14ac:dyDescent="0.3">
      <c r="A53" t="s">
        <v>57</v>
      </c>
      <c r="B53">
        <v>1</v>
      </c>
      <c r="C53">
        <v>0</v>
      </c>
      <c r="D53">
        <v>0</v>
      </c>
      <c r="E53">
        <v>0</v>
      </c>
      <c r="F53" s="1">
        <f t="shared" si="0"/>
        <v>0</v>
      </c>
      <c r="G53" s="1">
        <f t="shared" si="1"/>
        <v>0</v>
      </c>
      <c r="H53" s="1">
        <v>0</v>
      </c>
    </row>
    <row r="54" spans="1:8" x14ac:dyDescent="0.3">
      <c r="A54" t="s">
        <v>72</v>
      </c>
      <c r="B54">
        <v>45</v>
      </c>
      <c r="C54">
        <v>5</v>
      </c>
      <c r="D54">
        <v>2</v>
      </c>
      <c r="E54">
        <v>0</v>
      </c>
      <c r="F54" s="1">
        <f t="shared" si="0"/>
        <v>0.1111111111111111</v>
      </c>
      <c r="G54" s="1">
        <f t="shared" si="1"/>
        <v>4.4444444444444446E-2</v>
      </c>
      <c r="H54" s="1">
        <f t="shared" si="2"/>
        <v>0</v>
      </c>
    </row>
    <row r="55" spans="1:8" x14ac:dyDescent="0.3">
      <c r="A55" t="s">
        <v>58</v>
      </c>
      <c r="B55">
        <v>34</v>
      </c>
      <c r="C55">
        <v>3</v>
      </c>
      <c r="D55">
        <v>3</v>
      </c>
      <c r="E55">
        <v>0</v>
      </c>
      <c r="F55" s="1">
        <f t="shared" si="0"/>
        <v>8.8235294117647065E-2</v>
      </c>
      <c r="G55" s="1">
        <f t="shared" si="1"/>
        <v>8.8235294117647065E-2</v>
      </c>
      <c r="H55" s="1">
        <f t="shared" si="2"/>
        <v>0</v>
      </c>
    </row>
    <row r="56" spans="1:8" x14ac:dyDescent="0.3">
      <c r="A56" t="s">
        <v>59</v>
      </c>
      <c r="B56">
        <v>13</v>
      </c>
      <c r="C56">
        <v>1</v>
      </c>
      <c r="D56">
        <v>0</v>
      </c>
      <c r="E56">
        <v>0</v>
      </c>
      <c r="F56" s="1">
        <f t="shared" si="0"/>
        <v>7.6923076923076927E-2</v>
      </c>
      <c r="G56" s="1">
        <f t="shared" si="1"/>
        <v>0</v>
      </c>
      <c r="H56" s="1">
        <v>0</v>
      </c>
    </row>
    <row r="57" spans="1:8" x14ac:dyDescent="0.3">
      <c r="A57" t="s">
        <v>60</v>
      </c>
      <c r="B57">
        <v>46</v>
      </c>
      <c r="C57">
        <v>13</v>
      </c>
      <c r="D57">
        <v>8</v>
      </c>
      <c r="E57">
        <v>0</v>
      </c>
      <c r="F57" s="1">
        <f t="shared" si="0"/>
        <v>0.28260869565217389</v>
      </c>
      <c r="G57" s="1">
        <f t="shared" si="1"/>
        <v>0.17391304347826086</v>
      </c>
      <c r="H57" s="1">
        <f t="shared" si="2"/>
        <v>0</v>
      </c>
    </row>
    <row r="58" spans="1:8" x14ac:dyDescent="0.3">
      <c r="A58" t="s">
        <v>61</v>
      </c>
      <c r="B58">
        <v>29</v>
      </c>
      <c r="C58">
        <v>5</v>
      </c>
      <c r="D58">
        <v>5</v>
      </c>
      <c r="E58">
        <v>1</v>
      </c>
      <c r="F58" s="1">
        <f t="shared" si="0"/>
        <v>0.17241379310344829</v>
      </c>
      <c r="G58" s="1">
        <f t="shared" si="1"/>
        <v>0.17241379310344829</v>
      </c>
      <c r="H58" s="1">
        <f t="shared" si="2"/>
        <v>0.2</v>
      </c>
    </row>
    <row r="59" spans="1:8" x14ac:dyDescent="0.3">
      <c r="A59" t="s">
        <v>62</v>
      </c>
      <c r="B59">
        <v>5</v>
      </c>
      <c r="C59">
        <v>0</v>
      </c>
      <c r="D59">
        <v>0</v>
      </c>
      <c r="E59">
        <v>0</v>
      </c>
      <c r="F59" s="1">
        <f t="shared" si="0"/>
        <v>0</v>
      </c>
      <c r="G59" s="1">
        <f t="shared" si="1"/>
        <v>0</v>
      </c>
      <c r="H59" s="1">
        <v>0</v>
      </c>
    </row>
    <row r="60" spans="1:8" x14ac:dyDescent="0.3">
      <c r="A60" t="s">
        <v>63</v>
      </c>
      <c r="B60">
        <v>10</v>
      </c>
      <c r="C60">
        <v>3</v>
      </c>
      <c r="D60">
        <v>1</v>
      </c>
      <c r="E60">
        <v>0</v>
      </c>
      <c r="F60" s="1">
        <f t="shared" si="0"/>
        <v>0.3</v>
      </c>
      <c r="G60" s="1">
        <f t="shared" si="1"/>
        <v>0.1</v>
      </c>
      <c r="H60" s="1">
        <f t="shared" si="2"/>
        <v>0</v>
      </c>
    </row>
    <row r="61" spans="1:8" x14ac:dyDescent="0.3">
      <c r="A61" t="s">
        <v>64</v>
      </c>
      <c r="B61">
        <v>118</v>
      </c>
      <c r="C61">
        <v>31</v>
      </c>
      <c r="D61">
        <v>13</v>
      </c>
      <c r="E61">
        <v>5</v>
      </c>
      <c r="F61" s="1">
        <f t="shared" si="0"/>
        <v>0.26271186440677968</v>
      </c>
      <c r="G61" s="1">
        <f t="shared" si="1"/>
        <v>0.11016949152542373</v>
      </c>
      <c r="H61" s="1">
        <f t="shared" si="2"/>
        <v>0.38461538461538464</v>
      </c>
    </row>
    <row r="62" spans="1:8" x14ac:dyDescent="0.3">
      <c r="A62" t="s">
        <v>65</v>
      </c>
      <c r="B62">
        <v>17</v>
      </c>
      <c r="C62">
        <v>3</v>
      </c>
      <c r="D62">
        <v>2</v>
      </c>
      <c r="E62">
        <v>0</v>
      </c>
      <c r="F62" s="1">
        <f t="shared" si="0"/>
        <v>0.17647058823529413</v>
      </c>
      <c r="G62" s="1">
        <f t="shared" si="1"/>
        <v>0.11764705882352941</v>
      </c>
      <c r="H62" s="1">
        <f t="shared" si="2"/>
        <v>0</v>
      </c>
    </row>
    <row r="63" spans="1:8" x14ac:dyDescent="0.3">
      <c r="A63" t="s">
        <v>66</v>
      </c>
      <c r="B63">
        <v>19</v>
      </c>
      <c r="C63">
        <v>8</v>
      </c>
      <c r="D63">
        <v>9</v>
      </c>
      <c r="E63">
        <v>2</v>
      </c>
      <c r="F63" s="1">
        <f t="shared" si="0"/>
        <v>0.42105263157894735</v>
      </c>
      <c r="G63" s="1">
        <f t="shared" si="1"/>
        <v>0.47368421052631576</v>
      </c>
      <c r="H63" s="1">
        <f t="shared" si="2"/>
        <v>0.22222222222222221</v>
      </c>
    </row>
    <row r="64" spans="1:8" x14ac:dyDescent="0.3">
      <c r="A64" t="s">
        <v>67</v>
      </c>
      <c r="B64">
        <v>19</v>
      </c>
      <c r="C64">
        <v>2</v>
      </c>
      <c r="D64">
        <v>5</v>
      </c>
      <c r="E64">
        <v>1</v>
      </c>
      <c r="F64" s="1">
        <f t="shared" si="0"/>
        <v>0.10526315789473684</v>
      </c>
      <c r="G64" s="1">
        <f t="shared" si="1"/>
        <v>0.26315789473684209</v>
      </c>
      <c r="H64" s="1">
        <f t="shared" si="2"/>
        <v>0.2</v>
      </c>
    </row>
    <row r="65" spans="1:8" x14ac:dyDescent="0.3">
      <c r="A65" t="s">
        <v>68</v>
      </c>
      <c r="B65">
        <v>24</v>
      </c>
      <c r="C65">
        <v>1</v>
      </c>
      <c r="D65">
        <v>0</v>
      </c>
      <c r="E65">
        <v>0</v>
      </c>
      <c r="F65" s="1">
        <f t="shared" si="0"/>
        <v>4.1666666666666664E-2</v>
      </c>
      <c r="G65" s="1">
        <f t="shared" si="1"/>
        <v>0</v>
      </c>
      <c r="H65" s="1">
        <v>0</v>
      </c>
    </row>
    <row r="66" spans="1:8" x14ac:dyDescent="0.3">
      <c r="A66" t="s">
        <v>69</v>
      </c>
      <c r="B66">
        <v>37</v>
      </c>
      <c r="C66">
        <v>11</v>
      </c>
      <c r="D66">
        <v>0</v>
      </c>
      <c r="E66">
        <v>0</v>
      </c>
      <c r="F66" s="1">
        <f t="shared" si="0"/>
        <v>0.29729729729729731</v>
      </c>
      <c r="G66" s="1">
        <f t="shared" si="1"/>
        <v>0</v>
      </c>
      <c r="H66" s="1">
        <v>0</v>
      </c>
    </row>
    <row r="67" spans="1:8" x14ac:dyDescent="0.3">
      <c r="B67">
        <f>SUM(B2:B66)</f>
        <v>2894</v>
      </c>
      <c r="C67">
        <f>SUM(C2:C66)</f>
        <v>530</v>
      </c>
      <c r="D67">
        <f>SUM(D2:D66)</f>
        <v>255</v>
      </c>
      <c r="E67">
        <f>SUM(E2:E66)</f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4a9f3b-e835-4e6e-b6c0-e3ac820269b2">
      <Terms xmlns="http://schemas.microsoft.com/office/infopath/2007/PartnerControls"/>
    </lcf76f155ced4ddcb4097134ff3c332f>
    <TaxCatchAll xmlns="2058528a-a0ff-4e7b-8e26-ce2d2eda42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6F70C186C6645BC08A86DFCFA0EB2" ma:contentTypeVersion="11" ma:contentTypeDescription="Create a new document." ma:contentTypeScope="" ma:versionID="2351e8b1e069490dd0a762671632f65d">
  <xsd:schema xmlns:xsd="http://www.w3.org/2001/XMLSchema" xmlns:xs="http://www.w3.org/2001/XMLSchema" xmlns:p="http://schemas.microsoft.com/office/2006/metadata/properties" xmlns:ns2="9c4a9f3b-e835-4e6e-b6c0-e3ac820269b2" xmlns:ns3="2058528a-a0ff-4e7b-8e26-ce2d2eda42d0" targetNamespace="http://schemas.microsoft.com/office/2006/metadata/properties" ma:root="true" ma:fieldsID="5ac462eb656b14e81070b63355205621" ns2:_="" ns3:_="">
    <xsd:import namespace="9c4a9f3b-e835-4e6e-b6c0-e3ac820269b2"/>
    <xsd:import namespace="2058528a-a0ff-4e7b-8e26-ce2d2eda42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a9f3b-e835-4e6e-b6c0-e3ac820269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692df45-2ee3-4823-b18c-9b009abc5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8528a-a0ff-4e7b-8e26-ce2d2eda42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1b4632e-0757-426f-b212-8a54410f822a}" ma:internalName="TaxCatchAll" ma:showField="CatchAllData" ma:web="2058528a-a0ff-4e7b-8e26-ce2d2eda42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E4C929-CFCA-4104-AAA5-F2FFE9C000F3}">
  <ds:schemaRefs>
    <ds:schemaRef ds:uri="http://www.w3.org/XML/1998/namespace"/>
    <ds:schemaRef ds:uri="9c4a9f3b-e835-4e6e-b6c0-e3ac820269b2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2058528a-a0ff-4e7b-8e26-ce2d2eda42d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ADF3C54-A579-433E-BC13-075E1B95DB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F69540-E926-43F6-B07C-D76F17D02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a9f3b-e835-4e6e-b6c0-e3ac820269b2"/>
    <ds:schemaRef ds:uri="2058528a-a0ff-4e7b-8e26-ce2d2eda42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A Weinstock</dc:creator>
  <cp:keywords/>
  <dc:description/>
  <cp:lastModifiedBy>Sebastian A Weinstock</cp:lastModifiedBy>
  <cp:revision/>
  <dcterms:created xsi:type="dcterms:W3CDTF">2025-12-08T07:05:37Z</dcterms:created>
  <dcterms:modified xsi:type="dcterms:W3CDTF">2025-12-08T12:13:46Z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0x010100D006F70C186C6645BC08A86DFCFA0EB2</vt:lpwstr>
  </property>
  <property fmtid="{D5CDD505-2E9C-101B-9397-08002B2CF9AE}" pid="3" name="MediaServiceImageTags">
    <vt:lpwstr/>
  </property>
</Properties>
</file>